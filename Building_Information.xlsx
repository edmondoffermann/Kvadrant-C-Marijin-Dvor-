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yo/Documents/Private/Sarajevo/Kvadrant_C/"/>
    </mc:Choice>
  </mc:AlternateContent>
  <xr:revisionPtr revIDLastSave="0" documentId="8_{7C2DBC85-D6E3-BB41-AD94-D0EBE79328F4}" xr6:coauthVersionLast="47" xr6:coauthVersionMax="47" xr10:uidLastSave="{00000000-0000-0000-0000-000000000000}"/>
  <bookViews>
    <workbookView xWindow="4160" yWindow="940" windowWidth="19220" windowHeight="12700" xr2:uid="{BA819F2E-3B37-2348-9CDC-44424EAADC3F}"/>
  </bookViews>
  <sheets>
    <sheet name="Sheet1" sheetId="1" r:id="rId1"/>
  </sheets>
  <definedNames>
    <definedName name="_xlnm.Print_Area" localSheetId="0">Sheet1!$A$2:$H$9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1" l="1"/>
  <c r="I4" i="1"/>
  <c r="J4" i="1"/>
  <c r="K4" i="1" s="1"/>
  <c r="I5" i="1"/>
  <c r="J5" i="1"/>
  <c r="K5" i="1"/>
  <c r="J8" i="1"/>
  <c r="K8" i="1" s="1"/>
  <c r="K3" i="1"/>
  <c r="K10" i="1" s="1"/>
  <c r="I3" i="1"/>
  <c r="J3" i="1"/>
  <c r="G10" i="1"/>
  <c r="F10" i="1"/>
</calcChain>
</file>

<file path=xl/sharedStrings.xml><?xml version="1.0" encoding="utf-8"?>
<sst xmlns="http://schemas.openxmlformats.org/spreadsheetml/2006/main" count="22" uniqueCount="22">
  <si>
    <t>Parcel</t>
  </si>
  <si>
    <t>Designation</t>
  </si>
  <si>
    <t xml:space="preserve">Saudi Arabia Embassy </t>
  </si>
  <si>
    <t>Ars Evi Museum</t>
  </si>
  <si>
    <t>Mechanical Engineering extension</t>
  </si>
  <si>
    <t>Parcel size [m^2]</t>
  </si>
  <si>
    <t>Building Height [m]</t>
  </si>
  <si>
    <t>World Trade Center</t>
  </si>
  <si>
    <t>Residential / 2 floors on existing building</t>
  </si>
  <si>
    <t>Commercial / Residential (Importance Center)</t>
  </si>
  <si>
    <t>Commercial / Residential (Senad Hadžifejzović)</t>
  </si>
  <si>
    <t>Building Perimeter size [m^2]</t>
  </si>
  <si>
    <t>GFA Res. [m^2[]</t>
  </si>
  <si>
    <t>Gross Floor Area [m^2]</t>
  </si>
  <si>
    <t>GFA Com. [m^2[]</t>
  </si>
  <si>
    <t>Building Cost [KM]</t>
  </si>
  <si>
    <t>Sales Revenue [KM]</t>
  </si>
  <si>
    <t>Profit [KM]</t>
  </si>
  <si>
    <t>Projected Revenue Residential Units</t>
  </si>
  <si>
    <t>Building Parameters</t>
  </si>
  <si>
    <t>Building cost [KM / m^2]</t>
  </si>
  <si>
    <t>Sales Price [KM / m^2]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</si>
</sst>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MT"/>
      <family val="2"/>
    </font>
    <font>
      <sz val="12"/>
      <color theme="1"/>
      <name val="ArialMT"/>
    </font>
    <font>
      <sz val="14"/>
      <color theme="1"/>
      <name val="ArialMT"/>
      <family val="2"/>
    </font>
    <font>
      <b/>
      <sz val="12"/>
      <color theme="1"/>
      <name val="ArialMT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" fontId="1" fillId="0" borderId="2" xfId="0" applyNumberFormat="1" applyFont="1" applyBorder="1"/>
    <xf numFmtId="0" fontId="1" fillId="0" borderId="8" xfId="0" applyFont="1" applyBorder="1" applyAlignment="1">
      <alignment horizontal="center" vertical="center"/>
    </xf>
    <xf numFmtId="1" fontId="1" fillId="0" borderId="3" xfId="0" applyNumberFormat="1" applyFont="1" applyBorder="1"/>
    <xf numFmtId="3" fontId="1" fillId="0" borderId="0" xfId="0" applyNumberFormat="1" applyFont="1"/>
    <xf numFmtId="3" fontId="1" fillId="0" borderId="1" xfId="0" applyNumberFormat="1" applyFont="1" applyBorder="1"/>
    <xf numFmtId="3" fontId="0" fillId="0" borderId="0" xfId="0" applyNumberFormat="1"/>
    <xf numFmtId="3" fontId="0" fillId="0" borderId="12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3" fontId="0" fillId="2" borderId="10" xfId="0" applyNumberFormat="1" applyFill="1" applyBorder="1"/>
    <xf numFmtId="3" fontId="0" fillId="2" borderId="2" xfId="0" applyNumberFormat="1" applyFill="1" applyBorder="1"/>
    <xf numFmtId="3" fontId="0" fillId="2" borderId="11" xfId="0" applyNumberFormat="1" applyFill="1" applyBorder="1"/>
    <xf numFmtId="3" fontId="0" fillId="2" borderId="3" xfId="0" applyNumberFormat="1" applyFill="1" applyBorder="1"/>
    <xf numFmtId="3" fontId="0" fillId="3" borderId="2" xfId="0" applyNumberFormat="1" applyFill="1" applyBorder="1"/>
    <xf numFmtId="3" fontId="0" fillId="3" borderId="3" xfId="0" applyNumberFormat="1" applyFill="1" applyBorder="1"/>
    <xf numFmtId="0" fontId="1" fillId="4" borderId="0" xfId="0" applyFont="1" applyFill="1" applyAlignment="1">
      <alignment wrapText="1"/>
    </xf>
    <xf numFmtId="0" fontId="1" fillId="4" borderId="1" xfId="0" applyFont="1" applyFill="1" applyBorder="1" applyAlignment="1">
      <alignment wrapText="1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2" fillId="0" borderId="12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3" fontId="0" fillId="5" borderId="9" xfId="0" applyNumberFormat="1" applyFill="1" applyBorder="1"/>
    <xf numFmtId="0" fontId="0" fillId="5" borderId="8" xfId="0" applyFill="1" applyBorder="1" applyAlignment="1">
      <alignment wrapText="1"/>
    </xf>
    <xf numFmtId="3" fontId="0" fillId="5" borderId="3" xfId="0" applyNumberFormat="1" applyFill="1" applyBorder="1"/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3" fontId="0" fillId="0" borderId="5" xfId="0" applyNumberFormat="1" applyBorder="1"/>
    <xf numFmtId="1" fontId="0" fillId="0" borderId="5" xfId="0" applyNumberFormat="1" applyBorder="1"/>
    <xf numFmtId="3" fontId="3" fillId="3" borderId="6" xfId="0" applyNumberFormat="1" applyFont="1" applyFill="1" applyBorder="1"/>
    <xf numFmtId="3" fontId="0" fillId="0" borderId="12" xfId="0" applyNumberFormat="1" applyBorder="1"/>
    <xf numFmtId="3" fontId="0" fillId="0" borderId="6" xfId="0" applyNumberFormat="1" applyBorder="1"/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FD3D4-69BD-0742-86C2-5F13E1E5B773}">
  <dimension ref="A1:K13"/>
  <sheetViews>
    <sheetView tabSelected="1" workbookViewId="0">
      <selection activeCell="H15" sqref="H15"/>
    </sheetView>
  </sheetViews>
  <sheetFormatPr baseColWidth="10" defaultRowHeight="16"/>
  <cols>
    <col min="1" max="1" width="9.28515625" style="4" customWidth="1"/>
    <col min="2" max="2" width="25.7109375" style="2" customWidth="1"/>
    <col min="3" max="3" width="8.28515625" style="1" customWidth="1"/>
    <col min="4" max="4" width="10" style="1" customWidth="1"/>
    <col min="5" max="7" width="9.85546875" style="1" customWidth="1"/>
    <col min="8" max="8" width="8" style="1" customWidth="1"/>
    <col min="9" max="9" width="12.28515625" style="15" bestFit="1" customWidth="1"/>
    <col min="10" max="10" width="10.7109375" style="15"/>
  </cols>
  <sheetData>
    <row r="1" spans="1:11" ht="18">
      <c r="A1" s="36"/>
      <c r="B1" s="37"/>
      <c r="C1" s="29" t="s">
        <v>19</v>
      </c>
      <c r="D1" s="30"/>
      <c r="E1" s="30"/>
      <c r="F1" s="30"/>
      <c r="G1" s="30"/>
      <c r="H1" s="31"/>
      <c r="I1" s="27" t="s">
        <v>18</v>
      </c>
      <c r="J1" s="28"/>
      <c r="K1" s="28"/>
    </row>
    <row r="2" spans="1:11" s="3" customFormat="1" ht="51">
      <c r="A2" s="5" t="s">
        <v>0</v>
      </c>
      <c r="B2" s="6" t="s">
        <v>1</v>
      </c>
      <c r="C2" s="7" t="s">
        <v>5</v>
      </c>
      <c r="D2" s="7" t="s">
        <v>11</v>
      </c>
      <c r="E2" s="7" t="s">
        <v>13</v>
      </c>
      <c r="F2" s="7" t="s">
        <v>12</v>
      </c>
      <c r="G2" s="7" t="s">
        <v>14</v>
      </c>
      <c r="H2" s="8" t="s">
        <v>6</v>
      </c>
      <c r="I2" s="16" t="s">
        <v>15</v>
      </c>
      <c r="J2" s="18" t="s">
        <v>16</v>
      </c>
      <c r="K2" s="17" t="s">
        <v>17</v>
      </c>
    </row>
    <row r="3" spans="1:11" ht="17">
      <c r="A3" s="9">
        <v>1</v>
      </c>
      <c r="B3" s="25" t="s">
        <v>7</v>
      </c>
      <c r="C3" s="13">
        <v>15200</v>
      </c>
      <c r="D3" s="13">
        <v>5900</v>
      </c>
      <c r="E3" s="13">
        <v>56600</v>
      </c>
      <c r="F3" s="13">
        <v>11100</v>
      </c>
      <c r="G3" s="13">
        <v>44000</v>
      </c>
      <c r="H3" s="10">
        <v>50</v>
      </c>
      <c r="I3" s="19">
        <f>F3*3500</f>
        <v>38850000</v>
      </c>
      <c r="J3" s="20">
        <f>F3*10000</f>
        <v>111000000</v>
      </c>
      <c r="K3" s="23">
        <f>J3-I3</f>
        <v>72150000</v>
      </c>
    </row>
    <row r="4" spans="1:11" ht="34">
      <c r="A4" s="9">
        <v>2</v>
      </c>
      <c r="B4" s="25" t="s">
        <v>9</v>
      </c>
      <c r="C4" s="13">
        <v>2175</v>
      </c>
      <c r="D4" s="13">
        <v>1180</v>
      </c>
      <c r="E4" s="13">
        <v>11520</v>
      </c>
      <c r="F4" s="13">
        <v>2304</v>
      </c>
      <c r="G4" s="13">
        <v>9216</v>
      </c>
      <c r="H4" s="10">
        <v>50</v>
      </c>
      <c r="I4" s="19">
        <f t="shared" ref="I4:I5" si="0">F4*3500</f>
        <v>8064000</v>
      </c>
      <c r="J4" s="20">
        <f t="shared" ref="J4:J8" si="1">F4*10000</f>
        <v>23040000</v>
      </c>
      <c r="K4" s="23">
        <f t="shared" ref="K4:K5" si="2">J4-I4</f>
        <v>14976000</v>
      </c>
    </row>
    <row r="5" spans="1:11" ht="34">
      <c r="A5" s="9">
        <v>3</v>
      </c>
      <c r="B5" s="25" t="s">
        <v>10</v>
      </c>
      <c r="C5" s="13">
        <v>2280</v>
      </c>
      <c r="D5" s="13">
        <v>2080</v>
      </c>
      <c r="E5" s="13">
        <v>8480</v>
      </c>
      <c r="F5" s="13">
        <v>1660</v>
      </c>
      <c r="G5" s="13">
        <v>6640</v>
      </c>
      <c r="H5" s="10">
        <v>21</v>
      </c>
      <c r="I5" s="19">
        <f t="shared" si="0"/>
        <v>5810000</v>
      </c>
      <c r="J5" s="20">
        <f t="shared" si="1"/>
        <v>16600000</v>
      </c>
      <c r="K5" s="23">
        <f t="shared" si="2"/>
        <v>10790000</v>
      </c>
    </row>
    <row r="6" spans="1:11" ht="17">
      <c r="A6" s="9">
        <v>4</v>
      </c>
      <c r="B6" s="25" t="s">
        <v>2</v>
      </c>
      <c r="C6" s="13">
        <v>5100</v>
      </c>
      <c r="D6" s="13">
        <v>2160</v>
      </c>
      <c r="E6" s="13">
        <v>6475</v>
      </c>
      <c r="F6" s="13"/>
      <c r="G6" s="13"/>
      <c r="H6" s="10">
        <v>21</v>
      </c>
      <c r="I6" s="19"/>
      <c r="J6" s="20"/>
      <c r="K6" s="23"/>
    </row>
    <row r="7" spans="1:11" ht="17">
      <c r="A7" s="9">
        <v>5</v>
      </c>
      <c r="B7" s="25" t="s">
        <v>3</v>
      </c>
      <c r="C7" s="13">
        <v>7350</v>
      </c>
      <c r="D7" s="13">
        <v>2996</v>
      </c>
      <c r="E7" s="13">
        <v>6250</v>
      </c>
      <c r="F7" s="13"/>
      <c r="G7" s="13"/>
      <c r="H7" s="10">
        <v>21</v>
      </c>
      <c r="I7" s="19"/>
      <c r="J7" s="20"/>
      <c r="K7" s="23"/>
    </row>
    <row r="8" spans="1:11" ht="34">
      <c r="A8" s="9">
        <v>6</v>
      </c>
      <c r="B8" s="25" t="s">
        <v>8</v>
      </c>
      <c r="C8" s="13">
        <v>1518</v>
      </c>
      <c r="D8" s="13">
        <v>1418</v>
      </c>
      <c r="E8" s="13">
        <v>5600</v>
      </c>
      <c r="F8" s="13">
        <v>1180</v>
      </c>
      <c r="G8" s="13">
        <v>4720</v>
      </c>
      <c r="H8" s="10">
        <v>21</v>
      </c>
      <c r="I8" s="19">
        <f>F8*3500</f>
        <v>4130000</v>
      </c>
      <c r="J8" s="20">
        <f t="shared" si="1"/>
        <v>11800000</v>
      </c>
      <c r="K8" s="23">
        <f>J8-I8</f>
        <v>7670000</v>
      </c>
    </row>
    <row r="9" spans="1:11" ht="34">
      <c r="A9" s="11">
        <v>7</v>
      </c>
      <c r="B9" s="26" t="s">
        <v>4</v>
      </c>
      <c r="C9" s="14">
        <v>515</v>
      </c>
      <c r="D9" s="14">
        <v>515</v>
      </c>
      <c r="E9" s="14">
        <v>1900</v>
      </c>
      <c r="F9" s="14"/>
      <c r="G9" s="14"/>
      <c r="H9" s="12">
        <v>21</v>
      </c>
      <c r="I9" s="21"/>
      <c r="J9" s="22"/>
      <c r="K9" s="24"/>
    </row>
    <row r="10" spans="1:11">
      <c r="A10" s="44"/>
      <c r="B10" s="38"/>
      <c r="C10" s="39"/>
      <c r="D10" s="39"/>
      <c r="E10" s="39"/>
      <c r="F10" s="39">
        <f>SUM(F3:F9)</f>
        <v>16244</v>
      </c>
      <c r="G10" s="39">
        <f>SUM(G3:G9)</f>
        <v>64576</v>
      </c>
      <c r="H10" s="40"/>
      <c r="I10" s="42"/>
      <c r="J10" s="43"/>
      <c r="K10" s="41">
        <f>SUM(K3:K9)</f>
        <v>105586000</v>
      </c>
    </row>
    <row r="11" spans="1:11">
      <c r="C11" s="15"/>
      <c r="D11" s="15"/>
      <c r="E11" s="15"/>
      <c r="F11" s="15"/>
      <c r="G11" s="15"/>
    </row>
    <row r="12" spans="1:11" ht="17">
      <c r="B12" s="32" t="s">
        <v>20</v>
      </c>
      <c r="C12" s="33">
        <v>3500</v>
      </c>
    </row>
    <row r="13" spans="1:11" ht="17">
      <c r="B13" s="34" t="s">
        <v>21</v>
      </c>
      <c r="C13" s="35">
        <v>10000</v>
      </c>
    </row>
  </sheetData>
  <mergeCells count="2">
    <mergeCell ref="C1:H1"/>
    <mergeCell ref="I1:K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Offermann</dc:creator>
  <cp:lastModifiedBy>Edmond Offermann</cp:lastModifiedBy>
  <cp:lastPrinted>2026-04-30T17:07:25Z</cp:lastPrinted>
  <dcterms:created xsi:type="dcterms:W3CDTF">2026-04-29T22:23:00Z</dcterms:created>
  <dcterms:modified xsi:type="dcterms:W3CDTF">2026-05-04T18:11:37Z</dcterms:modified>
</cp:coreProperties>
</file>